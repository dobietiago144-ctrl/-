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<sst xmlns="http://schemas.openxmlformats.org/spreadsheetml/2006/main" count="31" uniqueCount="28">
  <si>
    <t>清远市清城区2020年度第五十九批次城镇建设用地征地基本情况</t>
  </si>
  <si>
    <t>单位：人、亩</t>
  </si>
  <si>
    <t>涉及被征地权属单位</t>
  </si>
  <si>
    <t>2002年</t>
  </si>
  <si>
    <t>2020年</t>
  </si>
  <si>
    <t>本批次征收集体土地总面积</t>
  </si>
  <si>
    <t>其中农用地面积</t>
  </si>
  <si>
    <t>其中建设用地面积</t>
  </si>
  <si>
    <t>其中未利用地面积</t>
  </si>
  <si>
    <t>土地总面积</t>
  </si>
  <si>
    <t>户数</t>
  </si>
  <si>
    <t>在册农业人口数</t>
  </si>
  <si>
    <t>人均面积</t>
  </si>
  <si>
    <t>其中耕地面积</t>
  </si>
  <si>
    <t>其中16周岁（含）以上</t>
  </si>
  <si>
    <t>其中60周岁（含）以上</t>
  </si>
  <si>
    <t>劳动力人口数</t>
  </si>
  <si>
    <t>人均耕地面积</t>
  </si>
  <si>
    <t>劳均耕地面积</t>
  </si>
  <si>
    <t>清远市清城区飞来峡镇旧岭村铺背经济合作社</t>
  </si>
  <si>
    <t>清远市清城区飞来峡镇旧岭村樟洞经济合作社</t>
  </si>
  <si>
    <t>合计</t>
  </si>
  <si>
    <t>备注：其中16周岁（含）以上及60周岁（含）以上的人数按听证送达回证的日期确定。</t>
  </si>
  <si>
    <t>清远市清城区飞来峡镇人民政府</t>
  </si>
  <si>
    <t xml:space="preserve"> </t>
  </si>
  <si>
    <t>年</t>
  </si>
  <si>
    <t>月</t>
  </si>
  <si>
    <t>日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</si>
</sst>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sz val="26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3" fillId="0" borderId="0">
      <alignment vertical="center"/>
    </xf>
    <xf numFmtId="0" fontId="7" fillId="6" borderId="5" applyNumberFormat="0" applyAlignment="0" applyProtection="0">
      <alignment vertical="center"/>
    </xf>
    <xf numFmtId="0" fontId="22" fillId="30" borderId="11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常规 26" xfId="25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1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O5" sqref="O5:R7"/>
    </sheetView>
  </sheetViews>
  <sheetFormatPr defaultColWidth="9" defaultRowHeight="13.5"/>
  <cols>
    <col min="1" max="1" width="23.625" style="1" customWidth="1"/>
    <col min="2" max="18" width="10.625" style="1" customWidth="1"/>
  </cols>
  <sheetData>
    <row r="1" ht="63.75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2.25" customHeight="1" spans="16:18">
      <c r="P2" s="10" t="s">
        <v>1</v>
      </c>
      <c r="Q2" s="10"/>
      <c r="R2" s="10"/>
    </row>
    <row r="3" ht="31.5" customHeight="1" spans="1:18">
      <c r="A3" s="3" t="s">
        <v>2</v>
      </c>
      <c r="B3" s="4" t="s">
        <v>3</v>
      </c>
      <c r="C3" s="4"/>
      <c r="D3" s="4"/>
      <c r="E3" s="4"/>
      <c r="F3" s="4" t="s">
        <v>4</v>
      </c>
      <c r="G3" s="4"/>
      <c r="H3" s="4"/>
      <c r="I3" s="4"/>
      <c r="J3" s="4"/>
      <c r="K3" s="4"/>
      <c r="L3" s="4"/>
      <c r="M3" s="4"/>
      <c r="N3" s="4"/>
      <c r="O3" s="4" t="s">
        <v>5</v>
      </c>
      <c r="P3" s="4" t="s">
        <v>6</v>
      </c>
      <c r="Q3" s="4" t="s">
        <v>7</v>
      </c>
      <c r="R3" s="4" t="s">
        <v>8</v>
      </c>
    </row>
    <row r="4" ht="57" customHeight="1" spans="1:18">
      <c r="A4" s="5"/>
      <c r="B4" s="4" t="s">
        <v>9</v>
      </c>
      <c r="C4" s="4" t="s">
        <v>10</v>
      </c>
      <c r="D4" s="4" t="s">
        <v>11</v>
      </c>
      <c r="E4" s="4" t="s">
        <v>12</v>
      </c>
      <c r="F4" s="4" t="s">
        <v>9</v>
      </c>
      <c r="G4" s="4" t="s">
        <v>13</v>
      </c>
      <c r="H4" s="4" t="s">
        <v>10</v>
      </c>
      <c r="I4" s="4" t="s">
        <v>11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/>
      <c r="P4" s="4"/>
      <c r="Q4" s="4"/>
      <c r="R4" s="4"/>
    </row>
    <row r="5" ht="48" customHeight="1" spans="1:18">
      <c r="A5" s="6" t="s">
        <v>19</v>
      </c>
      <c r="B5" s="7">
        <v>2559</v>
      </c>
      <c r="C5" s="7">
        <v>63</v>
      </c>
      <c r="D5" s="7">
        <v>305</v>
      </c>
      <c r="E5" s="8">
        <f>B5/D5</f>
        <v>8.39016393442623</v>
      </c>
      <c r="F5" s="7">
        <v>2559</v>
      </c>
      <c r="G5" s="7">
        <v>455</v>
      </c>
      <c r="H5" s="7">
        <v>60</v>
      </c>
      <c r="I5" s="7">
        <v>261</v>
      </c>
      <c r="J5" s="7">
        <v>186</v>
      </c>
      <c r="K5" s="7">
        <v>52</v>
      </c>
      <c r="L5" s="7"/>
      <c r="M5" s="8">
        <f>G5/I5</f>
        <v>1.74329501915709</v>
      </c>
      <c r="N5" s="7"/>
      <c r="O5" s="8">
        <v>29.409</v>
      </c>
      <c r="P5" s="8">
        <v>29.409</v>
      </c>
      <c r="Q5" s="8">
        <v>0</v>
      </c>
      <c r="R5" s="8">
        <v>0</v>
      </c>
    </row>
    <row r="6" ht="48" customHeight="1" spans="1:18">
      <c r="A6" s="6" t="s">
        <v>20</v>
      </c>
      <c r="B6" s="7">
        <v>7404</v>
      </c>
      <c r="C6" s="7">
        <v>85</v>
      </c>
      <c r="D6" s="7">
        <v>383</v>
      </c>
      <c r="E6" s="8">
        <f>B6/D6</f>
        <v>19.331592689295</v>
      </c>
      <c r="F6" s="7">
        <v>7404</v>
      </c>
      <c r="G6" s="7">
        <v>718</v>
      </c>
      <c r="H6" s="7">
        <v>92</v>
      </c>
      <c r="I6" s="7">
        <v>415</v>
      </c>
      <c r="J6" s="7">
        <v>287</v>
      </c>
      <c r="K6" s="7">
        <v>55</v>
      </c>
      <c r="L6" s="7"/>
      <c r="M6" s="8">
        <f>G6/I6</f>
        <v>1.73012048192771</v>
      </c>
      <c r="N6" s="7"/>
      <c r="O6" s="8">
        <v>6.1335</v>
      </c>
      <c r="P6" s="8">
        <v>6.1335</v>
      </c>
      <c r="Q6" s="8">
        <v>0</v>
      </c>
      <c r="R6" s="8">
        <v>0</v>
      </c>
    </row>
    <row r="7" ht="48" customHeight="1" spans="1:18">
      <c r="A7" s="6" t="s">
        <v>21</v>
      </c>
      <c r="B7" s="7">
        <f t="shared" ref="B7:K7" si="0">SUM(B5:B6)</f>
        <v>9963</v>
      </c>
      <c r="C7" s="7">
        <f t="shared" si="0"/>
        <v>148</v>
      </c>
      <c r="D7" s="7">
        <f t="shared" si="0"/>
        <v>688</v>
      </c>
      <c r="E7" s="8">
        <f>B7/D7</f>
        <v>14.4811046511628</v>
      </c>
      <c r="F7" s="7">
        <f t="shared" si="0"/>
        <v>9963</v>
      </c>
      <c r="G7" s="7">
        <f t="shared" si="0"/>
        <v>1173</v>
      </c>
      <c r="H7" s="7">
        <f t="shared" si="0"/>
        <v>152</v>
      </c>
      <c r="I7" s="7">
        <f t="shared" si="0"/>
        <v>676</v>
      </c>
      <c r="J7" s="7">
        <f t="shared" si="0"/>
        <v>473</v>
      </c>
      <c r="K7" s="7">
        <f t="shared" si="0"/>
        <v>107</v>
      </c>
      <c r="L7" s="7"/>
      <c r="M7" s="8">
        <f>G7/I7</f>
        <v>1.73520710059172</v>
      </c>
      <c r="N7" s="7"/>
      <c r="O7" s="8">
        <f>SUM(O5:O6)</f>
        <v>35.5425</v>
      </c>
      <c r="P7" s="8">
        <f>SUM(P5:P6)</f>
        <v>35.5425</v>
      </c>
      <c r="Q7" s="8">
        <f>SUM(Q5:Q6)</f>
        <v>0</v>
      </c>
      <c r="R7" s="8">
        <f>SUM(R5:R6)</f>
        <v>0</v>
      </c>
    </row>
    <row r="8" ht="48" customHeight="1" spans="1:18">
      <c r="A8" s="9" t="s">
        <v>22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10" ht="38.25" customHeight="1" spans="12:18">
      <c r="L10" s="11" t="s">
        <v>23</v>
      </c>
      <c r="M10" s="11"/>
      <c r="N10" s="11"/>
      <c r="O10" s="11"/>
      <c r="P10" s="11"/>
      <c r="Q10" s="11"/>
      <c r="R10" s="11"/>
    </row>
    <row r="11" ht="18.75" spans="12:18">
      <c r="L11" s="12"/>
      <c r="M11" s="12" t="s">
        <v>24</v>
      </c>
      <c r="N11" s="12" t="s">
        <v>25</v>
      </c>
      <c r="O11" s="12" t="s">
        <v>26</v>
      </c>
      <c r="P11" s="12" t="s">
        <v>27</v>
      </c>
      <c r="Q11" s="12"/>
      <c r="R11" s="12"/>
    </row>
  </sheetData>
  <mergeCells count="11">
    <mergeCell ref="A1:R1"/>
    <mergeCell ref="P2:R2"/>
    <mergeCell ref="B3:E3"/>
    <mergeCell ref="F3:N3"/>
    <mergeCell ref="A8:R8"/>
    <mergeCell ref="L10:R10"/>
    <mergeCell ref="A3:A4"/>
    <mergeCell ref="O3:O4"/>
    <mergeCell ref="P3:P4"/>
    <mergeCell ref="Q3:Q4"/>
    <mergeCell ref="R3:R4"/>
  </mergeCells>
  <conditionalFormatting sqref="A5:A7">
    <cfRule type="duplicateValues" dxfId="0" priority="1"/>
  </conditionalFormatting>
  <pageMargins left="0.236111111111111" right="0.236111111111111" top="0.432638888888889" bottom="0.472222222222222" header="0.314583333333333" footer="0.314583333333333"/>
  <pageSetup paperSize="9" scale="68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想不起来了</cp:lastModifiedBy>
  <dcterms:created xsi:type="dcterms:W3CDTF">2006-09-13T11:21:00Z</dcterms:created>
  <dcterms:modified xsi:type="dcterms:W3CDTF">2020-11-15T18:03:32Z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