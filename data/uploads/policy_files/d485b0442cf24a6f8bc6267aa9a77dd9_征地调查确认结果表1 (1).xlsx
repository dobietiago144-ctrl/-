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<sst xmlns="http://schemas.openxmlformats.org/spreadsheetml/2006/main" count="65" uniqueCount="49">
  <si>
    <t>征地调查结果确认表</t>
  </si>
  <si>
    <t>三、拟征土地青苗及附着物情况</t>
  </si>
  <si>
    <t>四、征地涉及农户签名</t>
  </si>
  <si>
    <t>建设用地项目名称</t>
  </si>
  <si>
    <t>清远市清城区2020年度第五十九批次城镇建设用地</t>
  </si>
  <si>
    <t>竹、果等附着物</t>
  </si>
  <si>
    <t>青苗</t>
  </si>
  <si>
    <t>农民签名</t>
  </si>
  <si>
    <t>被征地集体经济组织名称</t>
  </si>
  <si>
    <t>清远市清城区飞来峡镇旧岭村铺背经济合作社</t>
  </si>
  <si>
    <t>名称</t>
  </si>
  <si>
    <t>规格</t>
  </si>
  <si>
    <t>数量</t>
  </si>
  <si>
    <t>单位</t>
  </si>
  <si>
    <t>所有权人</t>
  </si>
  <si>
    <t>面积（亩）</t>
  </si>
  <si>
    <t>一、拟征土地情况</t>
  </si>
  <si>
    <t>二、被征地集体组织经济基本情况</t>
  </si>
  <si>
    <t>地类</t>
  </si>
  <si>
    <t>面积</t>
  </si>
  <si>
    <t>公顷</t>
  </si>
  <si>
    <t>亩</t>
  </si>
  <si>
    <t>农用地</t>
  </si>
  <si>
    <t>耕地</t>
  </si>
  <si>
    <t>水田</t>
  </si>
  <si>
    <t>土地总面积</t>
  </si>
  <si>
    <t>水浇地</t>
  </si>
  <si>
    <t>其中耕地</t>
  </si>
  <si>
    <t>旱地</t>
  </si>
  <si>
    <t>户数</t>
  </si>
  <si>
    <t>园地</t>
  </si>
  <si>
    <t>总人口数</t>
  </si>
  <si>
    <t>林地</t>
  </si>
  <si>
    <t>其中16周岁（含)以上</t>
  </si>
  <si>
    <t>其他农用地</t>
  </si>
  <si>
    <t>其中60周岁（含）以上</t>
  </si>
  <si>
    <t>农业人口数</t>
  </si>
  <si>
    <t>建设用地</t>
  </si>
  <si>
    <t>劳动力人口数</t>
  </si>
  <si>
    <t>备注</t>
  </si>
  <si>
    <t>未利用地</t>
  </si>
  <si>
    <t>人均耕地面积</t>
  </si>
  <si>
    <t>合计</t>
  </si>
  <si>
    <t>劳均耕地面积</t>
  </si>
  <si>
    <t>被征地集体经济组织盖章：</t>
  </si>
  <si>
    <t>法人代表签名：</t>
  </si>
  <si>
    <t>说明:1、征地调查结果确认表是拟征农村集体经济组织和农户土地调查结果的汇总表，是制定征地补偿安置方案的依据。拟征各农户土地地类、面积和地上附着物等种类、数量的分户确认表，由当地镇(街）、国土资源部门及集体经济组织留存（归档)。  2、被征地农户因故不能参加签名或者拒绝签名的，在备注栏内说明。</t>
  </si>
  <si>
    <t>年   月   日</t>
  </si>
  <si>
    <t>年  月  日</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</si>
</sst>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00_);[Red]\(0.0000\)"/>
  </numFmts>
  <fonts count="22">
    <font>
      <sz val="11"/>
      <color theme="1"/>
      <name val="宋体"/>
      <charset val="134"/>
      <scheme val="minor"/>
    </font>
    <font>
      <sz val="11"/>
      <name val="宋体"/>
      <charset val="134"/>
      <scheme val="minor"/>
    </font>
    <font>
      <sz val="20"/>
      <name val="宋体"/>
      <charset val="134"/>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theme="1"/>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rgb="FFFFEB9C"/>
        <bgColor indexed="64"/>
      </patternFill>
    </fill>
    <fill>
      <patternFill patternType="solid">
        <fgColor rgb="FFFFCC9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8" fillId="13" borderId="0" applyNumberFormat="0" applyBorder="0" applyAlignment="0" applyProtection="0">
      <alignment vertical="center"/>
    </xf>
    <xf numFmtId="0" fontId="17" fillId="8" borderId="2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11" borderId="0" applyNumberFormat="0" applyBorder="0" applyAlignment="0" applyProtection="0">
      <alignment vertical="center"/>
    </xf>
    <xf numFmtId="0" fontId="9" fillId="3" borderId="0" applyNumberFormat="0" applyBorder="0" applyAlignment="0" applyProtection="0">
      <alignment vertical="center"/>
    </xf>
    <xf numFmtId="43" fontId="0" fillId="0" borderId="0" applyFont="0" applyFill="0" applyBorder="0" applyAlignment="0" applyProtection="0">
      <alignment vertical="center"/>
    </xf>
    <xf numFmtId="0" fontId="10" fillId="1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6" borderId="19" applyNumberFormat="0" applyFont="0" applyAlignment="0" applyProtection="0">
      <alignment vertical="center"/>
    </xf>
    <xf numFmtId="0" fontId="10" fillId="19" borderId="0" applyNumberFormat="0" applyBorder="0" applyAlignment="0" applyProtection="0">
      <alignment vertical="center"/>
    </xf>
    <xf numFmtId="0" fontId="7"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2" fillId="0" borderId="17" applyNumberFormat="0" applyFill="0" applyAlignment="0" applyProtection="0">
      <alignment vertical="center"/>
    </xf>
    <xf numFmtId="0" fontId="4" fillId="0" borderId="17" applyNumberFormat="0" applyFill="0" applyAlignment="0" applyProtection="0">
      <alignment vertical="center"/>
    </xf>
    <xf numFmtId="0" fontId="10" fillId="15" borderId="0" applyNumberFormat="0" applyBorder="0" applyAlignment="0" applyProtection="0">
      <alignment vertical="center"/>
    </xf>
    <xf numFmtId="0" fontId="7" fillId="0" borderId="21" applyNumberFormat="0" applyFill="0" applyAlignment="0" applyProtection="0">
      <alignment vertical="center"/>
    </xf>
    <xf numFmtId="0" fontId="10" fillId="18" borderId="0" applyNumberFormat="0" applyBorder="0" applyAlignment="0" applyProtection="0">
      <alignment vertical="center"/>
    </xf>
    <xf numFmtId="0" fontId="11" fillId="5" borderId="18" applyNumberFormat="0" applyAlignment="0" applyProtection="0">
      <alignment vertical="center"/>
    </xf>
    <xf numFmtId="0" fontId="19" fillId="5" borderId="22" applyNumberFormat="0" applyAlignment="0" applyProtection="0">
      <alignment vertical="center"/>
    </xf>
    <xf numFmtId="0" fontId="3" fillId="2" borderId="16" applyNumberFormat="0" applyAlignment="0" applyProtection="0">
      <alignment vertical="center"/>
    </xf>
    <xf numFmtId="0" fontId="18" fillId="23" borderId="0" applyNumberFormat="0" applyBorder="0" applyAlignment="0" applyProtection="0">
      <alignment vertical="center"/>
    </xf>
    <xf numFmtId="0" fontId="10" fillId="26" borderId="0" applyNumberFormat="0" applyBorder="0" applyAlignment="0" applyProtection="0">
      <alignment vertical="center"/>
    </xf>
    <xf numFmtId="0" fontId="20" fillId="0" borderId="23" applyNumberFormat="0" applyFill="0" applyAlignment="0" applyProtection="0">
      <alignment vertical="center"/>
    </xf>
    <xf numFmtId="0" fontId="13" fillId="0" borderId="20" applyNumberFormat="0" applyFill="0" applyAlignment="0" applyProtection="0">
      <alignment vertical="center"/>
    </xf>
    <xf numFmtId="0" fontId="21" fillId="27" borderId="0" applyNumberFormat="0" applyBorder="0" applyAlignment="0" applyProtection="0">
      <alignment vertical="center"/>
    </xf>
    <xf numFmtId="0" fontId="16" fillId="7" borderId="0" applyNumberFormat="0" applyBorder="0" applyAlignment="0" applyProtection="0">
      <alignment vertical="center"/>
    </xf>
    <xf numFmtId="0" fontId="18" fillId="12" borderId="0" applyNumberFormat="0" applyBorder="0" applyAlignment="0" applyProtection="0">
      <alignment vertical="center"/>
    </xf>
    <xf numFmtId="0" fontId="10" fillId="4" borderId="0" applyNumberFormat="0" applyBorder="0" applyAlignment="0" applyProtection="0">
      <alignment vertical="center"/>
    </xf>
    <xf numFmtId="0" fontId="18" fillId="20" borderId="0" applyNumberFormat="0" applyBorder="0" applyAlignment="0" applyProtection="0">
      <alignment vertical="center"/>
    </xf>
    <xf numFmtId="0" fontId="18" fillId="10" borderId="0" applyNumberFormat="0" applyBorder="0" applyAlignment="0" applyProtection="0">
      <alignment vertical="center"/>
    </xf>
    <xf numFmtId="0" fontId="18" fillId="22" borderId="0" applyNumberFormat="0" applyBorder="0" applyAlignment="0" applyProtection="0">
      <alignment vertical="center"/>
    </xf>
    <xf numFmtId="0" fontId="18" fillId="30" borderId="0" applyNumberFormat="0" applyBorder="0" applyAlignment="0" applyProtection="0">
      <alignment vertical="center"/>
    </xf>
    <xf numFmtId="0" fontId="10" fillId="32" borderId="0" applyNumberFormat="0" applyBorder="0" applyAlignment="0" applyProtection="0">
      <alignment vertical="center"/>
    </xf>
    <xf numFmtId="0" fontId="10" fillId="25" borderId="0" applyNumberFormat="0" applyBorder="0" applyAlignment="0" applyProtection="0">
      <alignment vertical="center"/>
    </xf>
    <xf numFmtId="0" fontId="18" fillId="21" borderId="0" applyNumberFormat="0" applyBorder="0" applyAlignment="0" applyProtection="0">
      <alignment vertical="center"/>
    </xf>
    <xf numFmtId="0" fontId="18" fillId="29" borderId="0" applyNumberFormat="0" applyBorder="0" applyAlignment="0" applyProtection="0">
      <alignment vertical="center"/>
    </xf>
    <xf numFmtId="0" fontId="10" fillId="31" borderId="0" applyNumberFormat="0" applyBorder="0" applyAlignment="0" applyProtection="0">
      <alignment vertical="center"/>
    </xf>
    <xf numFmtId="0" fontId="18" fillId="9" borderId="0" applyNumberFormat="0" applyBorder="0" applyAlignment="0" applyProtection="0">
      <alignment vertical="center"/>
    </xf>
    <xf numFmtId="0" fontId="10" fillId="14" borderId="0" applyNumberFormat="0" applyBorder="0" applyAlignment="0" applyProtection="0">
      <alignment vertical="center"/>
    </xf>
    <xf numFmtId="0" fontId="10" fillId="24" borderId="0" applyNumberFormat="0" applyBorder="0" applyAlignment="0" applyProtection="0">
      <alignment vertical="center"/>
    </xf>
    <xf numFmtId="0" fontId="18" fillId="28" borderId="0" applyNumberFormat="0" applyBorder="0" applyAlignment="0" applyProtection="0">
      <alignment vertical="center"/>
    </xf>
    <xf numFmtId="0" fontId="10" fillId="17" borderId="0" applyNumberFormat="0" applyBorder="0" applyAlignment="0" applyProtection="0">
      <alignment vertical="center"/>
    </xf>
  </cellStyleXfs>
  <cellXfs count="59">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Fill="1" applyBorder="1" applyAlignment="1">
      <alignment horizontal="center" vertical="center" wrapText="1"/>
    </xf>
    <xf numFmtId="176" fontId="1" fillId="0" borderId="1" xfId="0" applyNumberFormat="1" applyFont="1" applyBorder="1" applyAlignment="1">
      <alignment horizontal="center"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14" xfId="0" applyFont="1" applyBorder="1" applyAlignment="1">
      <alignment horizontal="left" vertical="center" wrapText="1"/>
    </xf>
    <xf numFmtId="0" fontId="1" fillId="0" borderId="0" xfId="0" applyFont="1" applyBorder="1" applyAlignment="1">
      <alignment horizontal="left" vertical="center" wrapText="1"/>
    </xf>
    <xf numFmtId="0" fontId="1" fillId="0" borderId="0" xfId="0" applyFont="1" applyBorder="1" applyAlignment="1">
      <alignment vertical="center" wrapText="1"/>
    </xf>
    <xf numFmtId="0" fontId="1" fillId="0" borderId="15" xfId="0" applyFont="1" applyBorder="1" applyAlignment="1">
      <alignment vertical="center" wrapText="1"/>
    </xf>
    <xf numFmtId="0" fontId="1" fillId="0" borderId="15" xfId="0" applyFont="1" applyBorder="1">
      <alignment vertical="center"/>
    </xf>
    <xf numFmtId="0" fontId="1" fillId="0" borderId="14" xfId="0" applyFont="1" applyBorder="1" applyAlignment="1">
      <alignment vertical="center" wrapText="1"/>
    </xf>
    <xf numFmtId="0" fontId="1" fillId="0" borderId="0" xfId="0" applyFont="1" applyBorder="1">
      <alignment vertical="center"/>
    </xf>
    <xf numFmtId="0" fontId="1" fillId="0" borderId="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9" xfId="0" applyFont="1" applyBorder="1" applyAlignment="1">
      <alignment vertical="center" wrapText="1"/>
    </xf>
    <xf numFmtId="0" fontId="1" fillId="0" borderId="10" xfId="0" applyFont="1" applyBorder="1">
      <alignment vertical="center"/>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7" xfId="0" applyFont="1" applyBorder="1" applyAlignment="1">
      <alignment horizontal="center" vertical="center"/>
    </xf>
    <xf numFmtId="0" fontId="1" fillId="0" borderId="14"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horizontal="center" vertical="center"/>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1" fillId="0" borderId="0" xfId="0" applyFont="1" applyBorder="1" applyAlignment="1">
      <alignment horizontal="right" vertical="center"/>
    </xf>
    <xf numFmtId="0" fontId="1"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9" xfId="0" applyFont="1" applyBorder="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lignment vertical="center"/>
    </xf>
    <xf numFmtId="0" fontId="1" fillId="0" borderId="1" xfId="0" applyFont="1" applyBorder="1" applyAlignment="1">
      <alignment horizontal="left" vertical="center" wrapText="1"/>
    </xf>
    <xf numFmtId="0" fontId="1"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2"/>
  <sheetViews>
    <sheetView tabSelected="1" zoomScale="85" zoomScaleNormal="85" workbookViewId="0">
      <selection activeCell="E15" sqref="E15"/>
    </sheetView>
  </sheetViews>
  <sheetFormatPr defaultColWidth="9" defaultRowHeight="13.5"/>
  <cols>
    <col min="1" max="24" width="10.625" style="1" customWidth="1"/>
    <col min="25" max="16384" width="9" style="1"/>
  </cols>
  <sheetData>
    <row r="1" ht="48" customHeight="1" spans="1:24">
      <c r="A1" s="2" t="s">
        <v>0</v>
      </c>
      <c r="B1" s="2"/>
      <c r="C1" s="2"/>
      <c r="D1" s="2"/>
      <c r="E1" s="2"/>
      <c r="F1" s="2"/>
      <c r="G1" s="2"/>
      <c r="H1" s="2"/>
      <c r="I1" s="34" t="s">
        <v>1</v>
      </c>
      <c r="J1" s="34"/>
      <c r="K1" s="34"/>
      <c r="L1" s="34"/>
      <c r="M1" s="34"/>
      <c r="N1" s="34"/>
      <c r="O1" s="34"/>
      <c r="P1" s="34"/>
      <c r="Q1" s="53" t="s">
        <v>2</v>
      </c>
      <c r="R1" s="54"/>
      <c r="S1" s="54"/>
      <c r="T1" s="54"/>
      <c r="U1" s="54"/>
      <c r="V1" s="54"/>
      <c r="W1" s="54"/>
      <c r="X1" s="55"/>
    </row>
    <row r="2" ht="39.95" customHeight="1" spans="1:24">
      <c r="A2" s="3" t="s">
        <v>3</v>
      </c>
      <c r="B2" s="3"/>
      <c r="C2" s="3" t="s">
        <v>4</v>
      </c>
      <c r="D2" s="3"/>
      <c r="E2" s="3"/>
      <c r="F2" s="3"/>
      <c r="G2" s="3"/>
      <c r="H2" s="3"/>
      <c r="I2" s="34" t="s">
        <v>5</v>
      </c>
      <c r="J2" s="34"/>
      <c r="K2" s="34"/>
      <c r="L2" s="34"/>
      <c r="M2" s="34"/>
      <c r="N2" s="34" t="s">
        <v>6</v>
      </c>
      <c r="O2" s="34"/>
      <c r="P2" s="34"/>
      <c r="Q2" s="34" t="s">
        <v>7</v>
      </c>
      <c r="R2" s="34" t="s">
        <v>7</v>
      </c>
      <c r="S2" s="34" t="s">
        <v>7</v>
      </c>
      <c r="T2" s="34" t="s">
        <v>7</v>
      </c>
      <c r="U2" s="34" t="s">
        <v>7</v>
      </c>
      <c r="V2" s="34" t="s">
        <v>7</v>
      </c>
      <c r="W2" s="34" t="s">
        <v>7</v>
      </c>
      <c r="X2" s="34" t="s">
        <v>7</v>
      </c>
    </row>
    <row r="3" ht="39.95" customHeight="1" spans="1:24">
      <c r="A3" s="3" t="s">
        <v>8</v>
      </c>
      <c r="B3" s="3"/>
      <c r="C3" s="3" t="s">
        <v>9</v>
      </c>
      <c r="D3" s="3"/>
      <c r="E3" s="3"/>
      <c r="F3" s="3"/>
      <c r="G3" s="3"/>
      <c r="H3" s="3"/>
      <c r="I3" s="34" t="s">
        <v>10</v>
      </c>
      <c r="J3" s="34" t="s">
        <v>11</v>
      </c>
      <c r="K3" s="34" t="s">
        <v>12</v>
      </c>
      <c r="L3" s="34" t="s">
        <v>13</v>
      </c>
      <c r="M3" s="34" t="s">
        <v>14</v>
      </c>
      <c r="N3" s="34" t="s">
        <v>10</v>
      </c>
      <c r="O3" s="34" t="s">
        <v>15</v>
      </c>
      <c r="P3" s="34" t="s">
        <v>14</v>
      </c>
      <c r="Q3" s="56"/>
      <c r="R3" s="56"/>
      <c r="S3" s="56"/>
      <c r="T3" s="56"/>
      <c r="U3" s="56"/>
      <c r="V3" s="56"/>
      <c r="W3" s="56"/>
      <c r="X3" s="56"/>
    </row>
    <row r="4" ht="35.1" customHeight="1" spans="1:24">
      <c r="A4" s="4" t="s">
        <v>16</v>
      </c>
      <c r="B4" s="5"/>
      <c r="C4" s="5"/>
      <c r="D4" s="5"/>
      <c r="E4" s="6"/>
      <c r="F4" s="4" t="s">
        <v>17</v>
      </c>
      <c r="G4" s="5"/>
      <c r="H4" s="6"/>
      <c r="I4" s="34"/>
      <c r="J4" s="34"/>
      <c r="K4" s="34"/>
      <c r="L4" s="34"/>
      <c r="M4" s="34"/>
      <c r="N4" s="34"/>
      <c r="O4" s="34"/>
      <c r="P4" s="34"/>
      <c r="Q4" s="56"/>
      <c r="R4" s="56"/>
      <c r="S4" s="56"/>
      <c r="T4" s="56"/>
      <c r="U4" s="56"/>
      <c r="V4" s="56"/>
      <c r="W4" s="56"/>
      <c r="X4" s="56"/>
    </row>
    <row r="5" ht="20.1" customHeight="1" spans="1:24">
      <c r="A5" s="7" t="s">
        <v>18</v>
      </c>
      <c r="B5" s="8"/>
      <c r="C5" s="9"/>
      <c r="D5" s="3" t="s">
        <v>19</v>
      </c>
      <c r="E5" s="3"/>
      <c r="F5" s="10" t="s">
        <v>10</v>
      </c>
      <c r="G5" s="10" t="s">
        <v>12</v>
      </c>
      <c r="H5" s="3" t="s">
        <v>13</v>
      </c>
      <c r="I5" s="35"/>
      <c r="J5" s="35"/>
      <c r="K5" s="35"/>
      <c r="L5" s="35"/>
      <c r="M5" s="35"/>
      <c r="N5" s="35"/>
      <c r="O5" s="35"/>
      <c r="P5" s="35"/>
      <c r="Q5" s="35"/>
      <c r="R5" s="35"/>
      <c r="S5" s="35"/>
      <c r="T5" s="35"/>
      <c r="U5" s="35"/>
      <c r="V5" s="35"/>
      <c r="W5" s="35"/>
      <c r="X5" s="35"/>
    </row>
    <row r="6" ht="20.1" customHeight="1" spans="1:24">
      <c r="A6" s="11"/>
      <c r="B6" s="12"/>
      <c r="C6" s="13"/>
      <c r="D6" s="3" t="s">
        <v>20</v>
      </c>
      <c r="E6" s="3" t="s">
        <v>21</v>
      </c>
      <c r="F6" s="14"/>
      <c r="G6" s="14"/>
      <c r="H6" s="3"/>
      <c r="I6" s="36"/>
      <c r="J6" s="36"/>
      <c r="K6" s="36"/>
      <c r="L6" s="36"/>
      <c r="M6" s="36"/>
      <c r="N6" s="36"/>
      <c r="O6" s="36"/>
      <c r="P6" s="36"/>
      <c r="Q6" s="36"/>
      <c r="R6" s="36"/>
      <c r="S6" s="36"/>
      <c r="T6" s="36"/>
      <c r="U6" s="36"/>
      <c r="V6" s="36"/>
      <c r="W6" s="36"/>
      <c r="X6" s="36"/>
    </row>
    <row r="7" ht="39.95" customHeight="1" spans="1:24">
      <c r="A7" s="3" t="s">
        <v>22</v>
      </c>
      <c r="B7" s="3" t="s">
        <v>23</v>
      </c>
      <c r="C7" s="3" t="s">
        <v>24</v>
      </c>
      <c r="D7" s="3">
        <v>0</v>
      </c>
      <c r="E7" s="3">
        <f>D7*15</f>
        <v>0</v>
      </c>
      <c r="F7" s="3" t="s">
        <v>25</v>
      </c>
      <c r="G7" s="3"/>
      <c r="H7" s="3"/>
      <c r="I7" s="34"/>
      <c r="J7" s="34"/>
      <c r="K7" s="34"/>
      <c r="L7" s="34"/>
      <c r="M7" s="34"/>
      <c r="N7" s="34"/>
      <c r="O7" s="34"/>
      <c r="P7" s="34"/>
      <c r="Q7" s="56"/>
      <c r="R7" s="56"/>
      <c r="S7" s="56"/>
      <c r="T7" s="56"/>
      <c r="U7" s="56"/>
      <c r="V7" s="56"/>
      <c r="W7" s="56"/>
      <c r="X7" s="56"/>
    </row>
    <row r="8" ht="39.95" customHeight="1" spans="1:24">
      <c r="A8" s="3"/>
      <c r="B8" s="3"/>
      <c r="C8" s="3" t="s">
        <v>26</v>
      </c>
      <c r="D8" s="3">
        <v>0</v>
      </c>
      <c r="E8" s="3">
        <f t="shared" ref="E8:E16" si="0">D8*15</f>
        <v>0</v>
      </c>
      <c r="F8" s="3" t="s">
        <v>27</v>
      </c>
      <c r="G8" s="3"/>
      <c r="H8" s="3"/>
      <c r="I8" s="34"/>
      <c r="J8" s="34"/>
      <c r="K8" s="34"/>
      <c r="L8" s="34"/>
      <c r="M8" s="34"/>
      <c r="N8" s="34"/>
      <c r="O8" s="34"/>
      <c r="P8" s="34"/>
      <c r="Q8" s="56"/>
      <c r="R8" s="56"/>
      <c r="S8" s="56"/>
      <c r="T8" s="56"/>
      <c r="U8" s="56"/>
      <c r="V8" s="56"/>
      <c r="W8" s="56"/>
      <c r="X8" s="56"/>
    </row>
    <row r="9" ht="39.95" customHeight="1" spans="1:24">
      <c r="A9" s="3"/>
      <c r="B9" s="3"/>
      <c r="C9" s="3" t="s">
        <v>28</v>
      </c>
      <c r="D9" s="3">
        <v>0</v>
      </c>
      <c r="E9" s="3">
        <f t="shared" si="0"/>
        <v>0</v>
      </c>
      <c r="F9" s="3" t="s">
        <v>29</v>
      </c>
      <c r="G9" s="3"/>
      <c r="H9" s="3"/>
      <c r="I9" s="34"/>
      <c r="J9" s="34"/>
      <c r="K9" s="34"/>
      <c r="L9" s="34"/>
      <c r="M9" s="34"/>
      <c r="N9" s="34"/>
      <c r="O9" s="34"/>
      <c r="P9" s="34"/>
      <c r="Q9" s="56"/>
      <c r="R9" s="56"/>
      <c r="S9" s="56"/>
      <c r="T9" s="56"/>
      <c r="U9" s="56"/>
      <c r="V9" s="56"/>
      <c r="W9" s="56"/>
      <c r="X9" s="56"/>
    </row>
    <row r="10" ht="39.95" customHeight="1" spans="1:24">
      <c r="A10" s="3"/>
      <c r="B10" s="4" t="s">
        <v>30</v>
      </c>
      <c r="C10" s="6"/>
      <c r="D10" s="3">
        <v>0.0174</v>
      </c>
      <c r="E10" s="3">
        <f t="shared" si="0"/>
        <v>0.261</v>
      </c>
      <c r="F10" s="3" t="s">
        <v>31</v>
      </c>
      <c r="G10" s="3"/>
      <c r="H10" s="3"/>
      <c r="I10" s="34"/>
      <c r="J10" s="34"/>
      <c r="K10" s="34"/>
      <c r="L10" s="34"/>
      <c r="M10" s="34"/>
      <c r="N10" s="34"/>
      <c r="O10" s="34"/>
      <c r="P10" s="34"/>
      <c r="Q10" s="56"/>
      <c r="R10" s="56"/>
      <c r="S10" s="56"/>
      <c r="T10" s="56"/>
      <c r="U10" s="56"/>
      <c r="V10" s="56"/>
      <c r="W10" s="56"/>
      <c r="X10" s="56"/>
    </row>
    <row r="11" ht="39.95" customHeight="1" spans="1:24">
      <c r="A11" s="3"/>
      <c r="B11" s="4" t="s">
        <v>32</v>
      </c>
      <c r="C11" s="6"/>
      <c r="D11" s="3">
        <v>1.9108</v>
      </c>
      <c r="E11" s="3">
        <f t="shared" si="0"/>
        <v>28.662</v>
      </c>
      <c r="F11" s="3" t="s">
        <v>33</v>
      </c>
      <c r="G11" s="3"/>
      <c r="H11" s="3"/>
      <c r="I11" s="34"/>
      <c r="J11" s="34"/>
      <c r="K11" s="34"/>
      <c r="L11" s="34"/>
      <c r="M11" s="34"/>
      <c r="N11" s="34"/>
      <c r="O11" s="34"/>
      <c r="P11" s="34"/>
      <c r="Q11" s="56"/>
      <c r="R11" s="56"/>
      <c r="S11" s="56"/>
      <c r="T11" s="56"/>
      <c r="U11" s="56"/>
      <c r="V11" s="56"/>
      <c r="W11" s="56"/>
      <c r="X11" s="56"/>
    </row>
    <row r="12" ht="39.95" customHeight="1" spans="1:24">
      <c r="A12" s="3"/>
      <c r="B12" s="7" t="s">
        <v>34</v>
      </c>
      <c r="C12" s="9"/>
      <c r="D12" s="15">
        <v>0.0324</v>
      </c>
      <c r="E12" s="3">
        <f>D12*15</f>
        <v>0.486</v>
      </c>
      <c r="F12" s="3" t="s">
        <v>35</v>
      </c>
      <c r="G12" s="3"/>
      <c r="H12" s="3"/>
      <c r="I12" s="34"/>
      <c r="J12" s="34"/>
      <c r="K12" s="34"/>
      <c r="L12" s="34"/>
      <c r="M12" s="34"/>
      <c r="N12" s="34"/>
      <c r="O12" s="34"/>
      <c r="P12" s="34"/>
      <c r="Q12" s="56"/>
      <c r="R12" s="56"/>
      <c r="S12" s="56"/>
      <c r="T12" s="56"/>
      <c r="U12" s="56"/>
      <c r="V12" s="56"/>
      <c r="W12" s="56"/>
      <c r="X12" s="56"/>
    </row>
    <row r="13" ht="39.95" customHeight="1" spans="1:24">
      <c r="A13" s="3"/>
      <c r="B13" s="11"/>
      <c r="C13" s="13"/>
      <c r="D13" s="3">
        <v>0</v>
      </c>
      <c r="E13" s="3">
        <f>D13*15</f>
        <v>0</v>
      </c>
      <c r="F13" s="3" t="s">
        <v>36</v>
      </c>
      <c r="G13" s="3"/>
      <c r="H13" s="3"/>
      <c r="I13" s="34"/>
      <c r="J13" s="34"/>
      <c r="K13" s="34"/>
      <c r="L13" s="34"/>
      <c r="M13" s="34"/>
      <c r="N13" s="34"/>
      <c r="O13" s="34"/>
      <c r="P13" s="34"/>
      <c r="Q13" s="56"/>
      <c r="R13" s="56"/>
      <c r="S13" s="56"/>
      <c r="T13" s="56"/>
      <c r="U13" s="56"/>
      <c r="V13" s="56"/>
      <c r="W13" s="56"/>
      <c r="X13" s="56"/>
    </row>
    <row r="14" ht="39.95" customHeight="1" spans="1:24">
      <c r="A14" s="4" t="s">
        <v>37</v>
      </c>
      <c r="B14" s="5"/>
      <c r="C14" s="6"/>
      <c r="D14" s="3">
        <v>0</v>
      </c>
      <c r="E14" s="3">
        <f t="shared" si="0"/>
        <v>0</v>
      </c>
      <c r="F14" s="3" t="s">
        <v>38</v>
      </c>
      <c r="G14" s="3"/>
      <c r="H14" s="3"/>
      <c r="I14" s="34"/>
      <c r="J14" s="34"/>
      <c r="K14" s="34"/>
      <c r="L14" s="34"/>
      <c r="M14" s="34"/>
      <c r="N14" s="34"/>
      <c r="O14" s="34"/>
      <c r="P14" s="34"/>
      <c r="Q14" s="34" t="s">
        <v>39</v>
      </c>
      <c r="R14" s="34"/>
      <c r="S14" s="34"/>
      <c r="T14" s="34"/>
      <c r="U14" s="34"/>
      <c r="V14" s="34"/>
      <c r="W14" s="34"/>
      <c r="X14" s="34"/>
    </row>
    <row r="15" ht="39.95" customHeight="1" spans="1:24">
      <c r="A15" s="4" t="s">
        <v>40</v>
      </c>
      <c r="B15" s="5"/>
      <c r="C15" s="6"/>
      <c r="D15" s="3">
        <v>0</v>
      </c>
      <c r="E15" s="3">
        <f t="shared" si="0"/>
        <v>0</v>
      </c>
      <c r="F15" s="3" t="s">
        <v>41</v>
      </c>
      <c r="G15" s="3"/>
      <c r="H15" s="3"/>
      <c r="I15" s="34"/>
      <c r="J15" s="34"/>
      <c r="K15" s="34"/>
      <c r="L15" s="34"/>
      <c r="M15" s="34"/>
      <c r="N15" s="34"/>
      <c r="O15" s="34"/>
      <c r="P15" s="34"/>
      <c r="Q15" s="34"/>
      <c r="R15" s="34"/>
      <c r="S15" s="34"/>
      <c r="T15" s="34"/>
      <c r="U15" s="34"/>
      <c r="V15" s="34"/>
      <c r="W15" s="34"/>
      <c r="X15" s="34"/>
    </row>
    <row r="16" ht="39.95" customHeight="1" spans="1:24">
      <c r="A16" s="4" t="s">
        <v>42</v>
      </c>
      <c r="B16" s="5"/>
      <c r="C16" s="6"/>
      <c r="D16" s="16">
        <f>SUM(D7:D15)</f>
        <v>1.9606</v>
      </c>
      <c r="E16" s="3">
        <f t="shared" si="0"/>
        <v>29.409</v>
      </c>
      <c r="F16" s="3" t="s">
        <v>43</v>
      </c>
      <c r="G16" s="3"/>
      <c r="H16" s="3"/>
      <c r="I16" s="34"/>
      <c r="J16" s="34"/>
      <c r="K16" s="34"/>
      <c r="L16" s="34"/>
      <c r="M16" s="34"/>
      <c r="N16" s="34"/>
      <c r="O16" s="34"/>
      <c r="P16" s="34"/>
      <c r="Q16" s="34"/>
      <c r="R16" s="34"/>
      <c r="S16" s="34"/>
      <c r="T16" s="34"/>
      <c r="U16" s="34"/>
      <c r="V16" s="34"/>
      <c r="W16" s="34"/>
      <c r="X16" s="34"/>
    </row>
    <row r="17" ht="15" customHeight="1" spans="1:25">
      <c r="A17" s="17"/>
      <c r="B17" s="18"/>
      <c r="C17" s="18"/>
      <c r="D17" s="18"/>
      <c r="E17" s="19"/>
      <c r="F17" s="20"/>
      <c r="G17" s="18"/>
      <c r="H17" s="19"/>
      <c r="I17" s="37"/>
      <c r="J17" s="38"/>
      <c r="K17" s="38"/>
      <c r="L17" s="39"/>
      <c r="M17" s="40"/>
      <c r="N17" s="38"/>
      <c r="O17" s="38"/>
      <c r="P17" s="41"/>
      <c r="Q17" s="34"/>
      <c r="R17" s="34"/>
      <c r="S17" s="34"/>
      <c r="T17" s="34"/>
      <c r="U17" s="34"/>
      <c r="V17" s="34"/>
      <c r="W17" s="34"/>
      <c r="X17" s="34"/>
      <c r="Y17" s="58"/>
    </row>
    <row r="18" ht="45" customHeight="1" spans="1:25">
      <c r="A18" s="21" t="s">
        <v>44</v>
      </c>
      <c r="B18" s="22"/>
      <c r="C18" s="22"/>
      <c r="D18" s="23"/>
      <c r="E18" s="24"/>
      <c r="F18" s="21" t="s">
        <v>45</v>
      </c>
      <c r="G18" s="22"/>
      <c r="H18" s="25"/>
      <c r="I18" s="42" t="s">
        <v>44</v>
      </c>
      <c r="J18" s="43"/>
      <c r="K18" s="44"/>
      <c r="L18" s="43"/>
      <c r="M18" s="45"/>
      <c r="N18" s="43" t="s">
        <v>45</v>
      </c>
      <c r="O18" s="44"/>
      <c r="P18" s="46"/>
      <c r="Q18" s="57" t="s">
        <v>46</v>
      </c>
      <c r="R18" s="57"/>
      <c r="S18" s="57"/>
      <c r="T18" s="57"/>
      <c r="U18" s="57"/>
      <c r="V18" s="57"/>
      <c r="W18" s="57"/>
      <c r="X18" s="57"/>
      <c r="Y18" s="23"/>
    </row>
    <row r="19" ht="20.1" customHeight="1" spans="1:25">
      <c r="A19" s="26"/>
      <c r="B19" s="27"/>
      <c r="C19" s="23"/>
      <c r="D19" s="28" t="s">
        <v>47</v>
      </c>
      <c r="E19" s="29"/>
      <c r="F19" s="26"/>
      <c r="G19" s="28" t="s">
        <v>47</v>
      </c>
      <c r="H19" s="29"/>
      <c r="I19" s="47"/>
      <c r="J19" s="44"/>
      <c r="K19" s="27"/>
      <c r="L19" s="43" t="s">
        <v>48</v>
      </c>
      <c r="M19" s="45"/>
      <c r="N19" s="44"/>
      <c r="O19" s="48" t="s">
        <v>48</v>
      </c>
      <c r="P19" s="45"/>
      <c r="Q19" s="57"/>
      <c r="R19" s="57"/>
      <c r="S19" s="57"/>
      <c r="T19" s="57"/>
      <c r="U19" s="57"/>
      <c r="V19" s="57"/>
      <c r="W19" s="57"/>
      <c r="X19" s="57"/>
      <c r="Y19" s="23"/>
    </row>
    <row r="20" ht="45" customHeight="1" spans="1:25">
      <c r="A20" s="30"/>
      <c r="B20" s="31"/>
      <c r="C20" s="32"/>
      <c r="D20" s="32"/>
      <c r="E20" s="33"/>
      <c r="F20" s="30"/>
      <c r="G20" s="31"/>
      <c r="H20" s="33"/>
      <c r="I20" s="49"/>
      <c r="J20" s="31"/>
      <c r="K20" s="31"/>
      <c r="L20" s="50"/>
      <c r="M20" s="51"/>
      <c r="N20" s="52"/>
      <c r="O20" s="31"/>
      <c r="P20" s="51"/>
      <c r="Q20" s="57"/>
      <c r="R20" s="57"/>
      <c r="S20" s="57"/>
      <c r="T20" s="57"/>
      <c r="U20" s="57"/>
      <c r="V20" s="57"/>
      <c r="W20" s="57"/>
      <c r="X20" s="57"/>
      <c r="Y20" s="23"/>
    </row>
    <row r="21" customHeight="1" spans="17:24">
      <c r="Q21" s="23"/>
      <c r="R21" s="23"/>
      <c r="S21" s="23"/>
      <c r="T21" s="23"/>
      <c r="U21" s="23"/>
      <c r="V21" s="23"/>
      <c r="W21" s="23"/>
      <c r="X21" s="23"/>
    </row>
    <row r="22" spans="17:24">
      <c r="Q22" s="23"/>
      <c r="R22" s="23"/>
      <c r="S22" s="23"/>
      <c r="T22" s="23"/>
      <c r="U22" s="23"/>
      <c r="V22" s="23"/>
      <c r="W22" s="23"/>
      <c r="X22" s="23"/>
    </row>
  </sheetData>
  <mergeCells count="47">
    <mergeCell ref="A1:H1"/>
    <mergeCell ref="I1:P1"/>
    <mergeCell ref="Q1:X1"/>
    <mergeCell ref="A2:B2"/>
    <mergeCell ref="C2:H2"/>
    <mergeCell ref="I2:M2"/>
    <mergeCell ref="N2:P2"/>
    <mergeCell ref="A3:B3"/>
    <mergeCell ref="C3:H3"/>
    <mergeCell ref="A4:E4"/>
    <mergeCell ref="F4:H4"/>
    <mergeCell ref="D5:E5"/>
    <mergeCell ref="B10:C10"/>
    <mergeCell ref="B11:C11"/>
    <mergeCell ref="A14:C14"/>
    <mergeCell ref="A15:C15"/>
    <mergeCell ref="A16:C16"/>
    <mergeCell ref="A18:C18"/>
    <mergeCell ref="F18:G18"/>
    <mergeCell ref="D19:E19"/>
    <mergeCell ref="G19:H19"/>
    <mergeCell ref="A7:A13"/>
    <mergeCell ref="B7:B9"/>
    <mergeCell ref="F5:F6"/>
    <mergeCell ref="G5:G6"/>
    <mergeCell ref="H5:H6"/>
    <mergeCell ref="I5:I6"/>
    <mergeCell ref="J5:J6"/>
    <mergeCell ref="K5:K6"/>
    <mergeCell ref="L5:L6"/>
    <mergeCell ref="M5:M6"/>
    <mergeCell ref="N5:N6"/>
    <mergeCell ref="O5:O6"/>
    <mergeCell ref="P5:P6"/>
    <mergeCell ref="Q5:Q6"/>
    <mergeCell ref="Q14:Q17"/>
    <mergeCell ref="R5:R6"/>
    <mergeCell ref="S5:S6"/>
    <mergeCell ref="T5:T6"/>
    <mergeCell ref="U5:U6"/>
    <mergeCell ref="V5:V6"/>
    <mergeCell ref="W5:W6"/>
    <mergeCell ref="X5:X6"/>
    <mergeCell ref="R14:X17"/>
    <mergeCell ref="A5:C6"/>
    <mergeCell ref="B12:C13"/>
    <mergeCell ref="Q18:X20"/>
  </mergeCells>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想不起来了</cp:lastModifiedBy>
  <dcterms:created xsi:type="dcterms:W3CDTF">2006-09-13T11:21:00Z</dcterms:created>
  <dcterms:modified xsi:type="dcterms:W3CDTF">2020-11-15T14:02:50Z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