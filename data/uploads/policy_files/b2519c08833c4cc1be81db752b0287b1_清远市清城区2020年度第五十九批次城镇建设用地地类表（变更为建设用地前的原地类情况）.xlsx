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<sst xmlns="http://schemas.openxmlformats.org/spreadsheetml/2006/main" count="38" uniqueCount="29">
  <si>
    <t>拟征占(用)土地权属地类面积明细表（变更为建设用地前的原地类情况）</t>
  </si>
  <si>
    <t>导出时间：2020-11-14 15:11:00</t>
  </si>
  <si>
    <t>权属年度</t>
  </si>
  <si>
    <t>202006</t>
  </si>
  <si>
    <t xml:space="preserve">    填报单位（盖章）</t>
  </si>
  <si>
    <t>单位：公顷</t>
  </si>
  <si>
    <t>项目（批次）名称：清远市清城区2020年度第五十九批次城镇建设用地</t>
  </si>
  <si>
    <t>序号</t>
  </si>
  <si>
    <t>权属单位</t>
  </si>
  <si>
    <t>权属性质</t>
  </si>
  <si>
    <t>总计</t>
  </si>
  <si>
    <t>（一）农用地</t>
  </si>
  <si>
    <t>（二）建设用地</t>
  </si>
  <si>
    <t>（三）未利用地</t>
  </si>
  <si>
    <t>小计</t>
  </si>
  <si>
    <t xml:space="preserve">   耕地</t>
  </si>
  <si>
    <t>园地</t>
  </si>
  <si>
    <t>其中</t>
  </si>
  <si>
    <t>林地</t>
  </si>
  <si>
    <t>其他农用地</t>
  </si>
  <si>
    <t>水田</t>
  </si>
  <si>
    <t>水浇地</t>
  </si>
  <si>
    <t>旱地</t>
  </si>
  <si>
    <t>可调整果园</t>
  </si>
  <si>
    <t>清远市清城区飞来峡镇旧岭村铺背经济合作社（农民集体）</t>
  </si>
  <si>
    <t>集体土地所有权</t>
  </si>
  <si>
    <t>清远市清城区飞来峡镇旧岭村樟洞经济合作社（农民集体）</t>
  </si>
  <si>
    <t>合计</t>
  </si>
  <si>
    <t>说明：1.拟用地红线由清远市自然资源局清城分局飞来峡自然所提供。2.拟用地范围涉及建设用地的，变更为建设用地前的原地类情况统计至1999年,数据仅供参考。具体面积以用地报批核准数据为准。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</si>
</sst>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00_ "/>
  </numFmts>
  <fonts count="25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24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6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1" fillId="19" borderId="2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4" borderId="22" applyNumberFormat="0" applyFon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8" fillId="0" borderId="20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1" fillId="0" borderId="24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3" borderId="21" applyNumberFormat="0" applyAlignment="0" applyProtection="0">
      <alignment vertical="center"/>
    </xf>
    <xf numFmtId="0" fontId="22" fillId="3" borderId="25" applyNumberFormat="0" applyAlignment="0" applyProtection="0">
      <alignment vertical="center"/>
    </xf>
    <xf numFmtId="0" fontId="7" fillId="7" borderId="19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3" fillId="0" borderId="26" applyNumberFormat="0" applyFill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5" fillId="4" borderId="8" xfId="0" applyFont="1" applyFill="1" applyBorder="1" applyAlignment="1">
      <alignment horizontal="center" vertical="center" wrapText="1"/>
    </xf>
    <xf numFmtId="14" fontId="5" fillId="4" borderId="8" xfId="0" applyNumberFormat="1" applyFont="1" applyFill="1" applyBorder="1" applyAlignment="1">
      <alignment horizontal="center" vertical="center" wrapText="1"/>
    </xf>
    <xf numFmtId="14" fontId="5" fillId="4" borderId="3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14" fontId="5" fillId="4" borderId="9" xfId="0" applyNumberFormat="1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horizontal="center" vertical="center" wrapText="1"/>
    </xf>
    <xf numFmtId="176" fontId="1" fillId="2" borderId="12" xfId="0" applyNumberFormat="1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4" fontId="5" fillId="4" borderId="5" xfId="0" applyNumberFormat="1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left" vertical="center" wrapText="1"/>
    </xf>
    <xf numFmtId="176" fontId="1" fillId="5" borderId="1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14"/>
  <sheetViews>
    <sheetView tabSelected="1" workbookViewId="0">
      <selection activeCell="K9" sqref="K9"/>
    </sheetView>
  </sheetViews>
  <sheetFormatPr defaultColWidth="9" defaultRowHeight="13.5"/>
  <cols>
    <col min="2" max="2" width="57.5" customWidth="1"/>
    <col min="3" max="3" width="21.75" customWidth="1"/>
    <col min="4" max="12" width="11.125" customWidth="1"/>
    <col min="13" max="13" width="11.875" customWidth="1"/>
    <col min="14" max="15" width="16.375" customWidth="1"/>
  </cols>
  <sheetData>
    <row r="1" ht="31.5" customHeight="1" spans="1:1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14.25" customHeight="1" spans="1:1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12"/>
    </row>
    <row r="3" ht="14.25" spans="1:15">
      <c r="A3" s="6" t="s">
        <v>2</v>
      </c>
      <c r="B3" s="7"/>
      <c r="C3" s="7"/>
      <c r="D3" s="7"/>
      <c r="E3" s="7"/>
      <c r="F3" s="8"/>
      <c r="G3" s="9" t="s">
        <v>3</v>
      </c>
      <c r="H3" s="10"/>
      <c r="I3" s="10"/>
      <c r="J3" s="10"/>
      <c r="K3" s="10"/>
      <c r="L3" s="10"/>
      <c r="M3" s="33"/>
      <c r="N3" s="12"/>
      <c r="O3" s="12"/>
    </row>
    <row r="4" ht="28.5" customHeight="1" spans="1:15">
      <c r="A4" s="11" t="s">
        <v>4</v>
      </c>
      <c r="B4" s="11"/>
      <c r="C4" s="12"/>
      <c r="D4" s="12"/>
      <c r="E4" s="12"/>
      <c r="F4" s="12"/>
      <c r="G4" s="12"/>
      <c r="H4" s="12"/>
      <c r="I4" s="34"/>
      <c r="J4" s="34"/>
      <c r="K4" s="34"/>
      <c r="L4" s="12"/>
      <c r="M4" s="12"/>
      <c r="N4" s="12" t="s">
        <v>5</v>
      </c>
      <c r="O4" s="12"/>
    </row>
    <row r="5" ht="35.25" customHeight="1" spans="1:15">
      <c r="A5" s="13" t="s">
        <v>6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ht="18.75" customHeight="1" spans="1:15">
      <c r="A6" s="14" t="s">
        <v>7</v>
      </c>
      <c r="B6" s="14" t="s">
        <v>8</v>
      </c>
      <c r="C6" s="15" t="s">
        <v>9</v>
      </c>
      <c r="D6" s="15" t="s">
        <v>10</v>
      </c>
      <c r="E6" s="16" t="s">
        <v>11</v>
      </c>
      <c r="F6" s="17"/>
      <c r="G6" s="17"/>
      <c r="H6" s="17"/>
      <c r="I6" s="17"/>
      <c r="J6" s="17"/>
      <c r="K6" s="17"/>
      <c r="L6" s="17"/>
      <c r="M6" s="35"/>
      <c r="N6" s="15" t="s">
        <v>12</v>
      </c>
      <c r="O6" s="15" t="s">
        <v>13</v>
      </c>
    </row>
    <row r="7" ht="18.75" customHeight="1" spans="1:15">
      <c r="A7" s="18"/>
      <c r="B7" s="18"/>
      <c r="C7" s="19"/>
      <c r="D7" s="19"/>
      <c r="E7" s="15" t="s">
        <v>14</v>
      </c>
      <c r="F7" s="20" t="s">
        <v>15</v>
      </c>
      <c r="G7" s="21"/>
      <c r="H7" s="21"/>
      <c r="I7" s="36"/>
      <c r="J7" s="15" t="s">
        <v>16</v>
      </c>
      <c r="K7" s="15" t="s">
        <v>17</v>
      </c>
      <c r="L7" s="15" t="s">
        <v>18</v>
      </c>
      <c r="M7" s="14" t="s">
        <v>19</v>
      </c>
      <c r="N7" s="19"/>
      <c r="O7" s="19"/>
    </row>
    <row r="8" ht="18.75" customHeight="1" spans="1:15">
      <c r="A8" s="18"/>
      <c r="B8" s="18"/>
      <c r="C8" s="19"/>
      <c r="D8" s="19"/>
      <c r="E8" s="19"/>
      <c r="F8" s="22"/>
      <c r="G8" s="14" t="s">
        <v>20</v>
      </c>
      <c r="H8" s="14" t="s">
        <v>21</v>
      </c>
      <c r="I8" s="14" t="s">
        <v>22</v>
      </c>
      <c r="J8" s="19"/>
      <c r="K8" s="19" t="s">
        <v>23</v>
      </c>
      <c r="L8" s="19"/>
      <c r="M8" s="18"/>
      <c r="N8" s="19"/>
      <c r="O8" s="19"/>
    </row>
    <row r="9" ht="42" customHeight="1" spans="1:15">
      <c r="A9" s="23">
        <v>1</v>
      </c>
      <c r="B9" s="23" t="s">
        <v>24</v>
      </c>
      <c r="C9" s="23" t="s">
        <v>25</v>
      </c>
      <c r="D9" s="24">
        <f>E9+N9+O9</f>
        <v>1.9606</v>
      </c>
      <c r="E9" s="24">
        <f>F9+J9+L9+M9</f>
        <v>1.9606</v>
      </c>
      <c r="F9" s="24">
        <f>G9+H9+I9</f>
        <v>0</v>
      </c>
      <c r="G9" s="24">
        <v>0</v>
      </c>
      <c r="H9" s="24">
        <v>0</v>
      </c>
      <c r="I9" s="24">
        <v>0</v>
      </c>
      <c r="J9" s="24">
        <v>0.0174</v>
      </c>
      <c r="K9" s="24">
        <v>0.0174</v>
      </c>
      <c r="L9" s="37">
        <v>1.9108</v>
      </c>
      <c r="M9" s="24">
        <v>0.0324</v>
      </c>
      <c r="N9" s="37">
        <v>0</v>
      </c>
      <c r="O9" s="24">
        <v>0</v>
      </c>
    </row>
    <row r="10" ht="42" customHeight="1" spans="1:15">
      <c r="A10" s="23">
        <v>2</v>
      </c>
      <c r="B10" s="25" t="s">
        <v>26</v>
      </c>
      <c r="C10" s="26" t="s">
        <v>25</v>
      </c>
      <c r="D10" s="24">
        <f t="shared" ref="D10:D11" si="0">E10+N10+O10</f>
        <v>0.3478</v>
      </c>
      <c r="E10" s="24">
        <f t="shared" ref="E10:E11" si="1">F10+J10+L10+M10</f>
        <v>0.3478</v>
      </c>
      <c r="F10" s="24">
        <f t="shared" ref="F10:F11" si="2">G10+H10+I10</f>
        <v>0</v>
      </c>
      <c r="G10" s="24">
        <v>0</v>
      </c>
      <c r="H10" s="24">
        <v>0</v>
      </c>
      <c r="I10" s="24">
        <v>0</v>
      </c>
      <c r="J10" s="24">
        <v>0</v>
      </c>
      <c r="K10" s="24"/>
      <c r="L10" s="24">
        <v>0.2611</v>
      </c>
      <c r="M10" s="24">
        <v>0.0867</v>
      </c>
      <c r="N10" s="24">
        <v>0</v>
      </c>
      <c r="O10" s="24">
        <v>0</v>
      </c>
    </row>
    <row r="11" ht="42" customHeight="1" spans="1:15">
      <c r="A11" s="23">
        <v>3</v>
      </c>
      <c r="B11" s="27"/>
      <c r="C11" s="26" t="s">
        <v>25</v>
      </c>
      <c r="D11" s="24">
        <f t="shared" si="0"/>
        <v>0.0611</v>
      </c>
      <c r="E11" s="24">
        <f t="shared" si="1"/>
        <v>0.0611</v>
      </c>
      <c r="F11" s="24">
        <f t="shared" si="2"/>
        <v>0</v>
      </c>
      <c r="G11" s="24">
        <v>0</v>
      </c>
      <c r="H11" s="24">
        <v>0</v>
      </c>
      <c r="I11" s="24">
        <v>0</v>
      </c>
      <c r="J11" s="24">
        <v>0</v>
      </c>
      <c r="K11" s="24"/>
      <c r="L11" s="24">
        <v>0.0611</v>
      </c>
      <c r="M11" s="24">
        <v>0</v>
      </c>
      <c r="N11" s="24">
        <v>0</v>
      </c>
      <c r="O11" s="24">
        <v>0</v>
      </c>
    </row>
    <row r="12" ht="42" customHeight="1" spans="1:15">
      <c r="A12" s="23">
        <v>4</v>
      </c>
      <c r="B12" s="28"/>
      <c r="C12" s="29" t="s">
        <v>14</v>
      </c>
      <c r="D12" s="30">
        <f t="shared" ref="D12:J12" si="3">SUM(D10:D11)</f>
        <v>0.4089</v>
      </c>
      <c r="E12" s="30">
        <f t="shared" si="3"/>
        <v>0.4089</v>
      </c>
      <c r="F12" s="30">
        <f t="shared" si="3"/>
        <v>0</v>
      </c>
      <c r="G12" s="30">
        <f t="shared" si="3"/>
        <v>0</v>
      </c>
      <c r="H12" s="30">
        <f t="shared" si="3"/>
        <v>0</v>
      </c>
      <c r="I12" s="30">
        <f t="shared" si="3"/>
        <v>0</v>
      </c>
      <c r="J12" s="30">
        <f t="shared" si="3"/>
        <v>0</v>
      </c>
      <c r="K12" s="30"/>
      <c r="L12" s="30">
        <f t="shared" ref="L12:O12" si="4">SUM(L10:L11)</f>
        <v>0.3222</v>
      </c>
      <c r="M12" s="30">
        <f t="shared" si="4"/>
        <v>0.0867</v>
      </c>
      <c r="N12" s="30">
        <f t="shared" si="4"/>
        <v>0</v>
      </c>
      <c r="O12" s="30">
        <f t="shared" si="4"/>
        <v>0</v>
      </c>
    </row>
    <row r="13" ht="42" customHeight="1" spans="1:15">
      <c r="A13" s="23">
        <v>5</v>
      </c>
      <c r="B13" s="31" t="s">
        <v>27</v>
      </c>
      <c r="C13" s="32"/>
      <c r="D13" s="30">
        <f>D12+D9</f>
        <v>2.3695</v>
      </c>
      <c r="E13" s="30">
        <f t="shared" ref="E13:O13" si="5">E12+E9</f>
        <v>2.3695</v>
      </c>
      <c r="F13" s="30">
        <f t="shared" si="5"/>
        <v>0</v>
      </c>
      <c r="G13" s="30">
        <f t="shared" si="5"/>
        <v>0</v>
      </c>
      <c r="H13" s="30">
        <f t="shared" si="5"/>
        <v>0</v>
      </c>
      <c r="I13" s="30">
        <f t="shared" si="5"/>
        <v>0</v>
      </c>
      <c r="J13" s="30">
        <f t="shared" si="5"/>
        <v>0.0174</v>
      </c>
      <c r="K13" s="30">
        <f>SUM(K9:K12)</f>
        <v>0.0174</v>
      </c>
      <c r="L13" s="30">
        <f t="shared" si="5"/>
        <v>2.233</v>
      </c>
      <c r="M13" s="30">
        <f t="shared" si="5"/>
        <v>0.1191</v>
      </c>
      <c r="N13" s="30">
        <f t="shared" si="5"/>
        <v>0</v>
      </c>
      <c r="O13" s="30">
        <f t="shared" si="5"/>
        <v>0</v>
      </c>
    </row>
    <row r="14" spans="2:2">
      <c r="B14" t="s">
        <v>28</v>
      </c>
    </row>
  </sheetData>
  <mergeCells count="20">
    <mergeCell ref="A1:O1"/>
    <mergeCell ref="A2:N2"/>
    <mergeCell ref="A3:F3"/>
    <mergeCell ref="G3:M3"/>
    <mergeCell ref="A4:B4"/>
    <mergeCell ref="A5:O5"/>
    <mergeCell ref="E6:M6"/>
    <mergeCell ref="F7:I7"/>
    <mergeCell ref="B13:C13"/>
    <mergeCell ref="A6:A8"/>
    <mergeCell ref="B6:B8"/>
    <mergeCell ref="B10:B12"/>
    <mergeCell ref="C6:C8"/>
    <mergeCell ref="D6:D8"/>
    <mergeCell ref="E7:E8"/>
    <mergeCell ref="J7:J8"/>
    <mergeCell ref="L7:L8"/>
    <mergeCell ref="M7:M8"/>
    <mergeCell ref="N6:N8"/>
    <mergeCell ref="O6:O8"/>
  </mergeCells>
  <pageMargins left="0.700694444444445" right="0.700694444444445" top="0.751388888888889" bottom="0.751388888888889" header="0.298611111111111" footer="0.298611111111111"/>
  <pageSetup paperSize="9" scale="57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workbookViewId="0">
      <selection activeCell="A1" sqref="A1:N3"/>
    </sheetView>
  </sheetViews>
  <sheetFormatPr defaultColWidth="9" defaultRowHeight="13.5" outlineLevelRow="2"/>
  <sheetData>
    <row r="1" ht="99.75" spans="1:14">
      <c r="A1" s="1">
        <v>2</v>
      </c>
      <c r="B1" s="1" t="s">
        <v>24</v>
      </c>
      <c r="C1" s="1" t="s">
        <v>25</v>
      </c>
      <c r="D1" s="2">
        <v>1.9606</v>
      </c>
      <c r="E1" s="2">
        <v>1.9097</v>
      </c>
      <c r="F1" s="3">
        <v>0</v>
      </c>
      <c r="G1" s="3">
        <v>0</v>
      </c>
      <c r="H1" s="3">
        <v>0</v>
      </c>
      <c r="I1" s="3">
        <v>0</v>
      </c>
      <c r="J1" s="3">
        <v>0.0174</v>
      </c>
      <c r="K1" s="3">
        <v>1.8599</v>
      </c>
      <c r="L1" s="3">
        <v>0.0324</v>
      </c>
      <c r="M1" s="3">
        <v>0.0509</v>
      </c>
      <c r="N1" s="3">
        <v>0</v>
      </c>
    </row>
    <row r="2" ht="99.75" spans="1:14">
      <c r="A2" s="1">
        <v>1</v>
      </c>
      <c r="B2" s="1" t="s">
        <v>26</v>
      </c>
      <c r="C2" s="1" t="s">
        <v>25</v>
      </c>
      <c r="D2" s="2">
        <v>0.3478</v>
      </c>
      <c r="E2" s="2">
        <v>0.3478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0.2611</v>
      </c>
      <c r="L2" s="3">
        <v>0.0867</v>
      </c>
      <c r="M2" s="3">
        <v>0</v>
      </c>
      <c r="N2" s="3">
        <v>0</v>
      </c>
    </row>
    <row r="3" ht="99.75" spans="1:14">
      <c r="A3" s="1">
        <v>3</v>
      </c>
      <c r="B3" s="1" t="s">
        <v>26</v>
      </c>
      <c r="C3" s="1" t="s">
        <v>25</v>
      </c>
      <c r="D3" s="2">
        <v>0.0611</v>
      </c>
      <c r="E3" s="2">
        <v>0.0611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0.0611</v>
      </c>
      <c r="L3" s="3">
        <v>0</v>
      </c>
      <c r="M3" s="3">
        <v>0</v>
      </c>
      <c r="N3" s="3">
        <v>0</v>
      </c>
    </row>
  </sheetData>
  <sortState ref="A1:N3">
    <sortCondition ref="B1"/>
  </sortState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清远市国艺</cp:lastModifiedBy>
  <dcterms:created xsi:type="dcterms:W3CDTF">2020-11-14T07:16:00Z</dcterms:created>
  <dcterms:modified xsi:type="dcterms:W3CDTF">2020-11-16T14:22:20Z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